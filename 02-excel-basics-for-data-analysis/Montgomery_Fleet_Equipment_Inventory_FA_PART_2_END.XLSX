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 12\Downloads\IBM_DATA_ANALYTICS\"/>
    </mc:Choice>
  </mc:AlternateContent>
  <xr:revisionPtr revIDLastSave="0" documentId="13_ncr:1_{BAE355D1-D657-4CD6-B0F7-F5B0214A9494}" xr6:coauthVersionLast="47" xr6:coauthVersionMax="47" xr10:uidLastSave="{00000000-0000-0000-0000-000000000000}"/>
  <bookViews>
    <workbookView xWindow="4380" yWindow="3480" windowWidth="21615" windowHeight="11295" activeTab="3" xr2:uid="{00000000-000D-0000-FFFF-FFFF00000000}"/>
  </bookViews>
  <sheets>
    <sheet name="Sheet1" sheetId="5" r:id="rId1"/>
    <sheet name="Sheet2" sheetId="3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21" r:id="rId5"/>
    <pivotCache cacheId="22" r:id="rId6"/>
    <pivotCache cacheId="2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8576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<sst xmlns="http://schemas.openxmlformats.org/spreadsheetml/2006/main" count="167" uniqueCount="39">
  <si>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</si>
  <si>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</si>
  <si>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</si>
  <si>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</si>
  <si>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</si>
  <si>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</si>
  <si>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</si>
  <si>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</si>
  <si>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</si>
  <si>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</si>
  <si>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</si>
  <si>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</si>
  <si>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</si>
  <si>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</si>
  <si>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</si>
  <si>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</si>
  <si>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</si>
  <si>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</si>
  <si>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</si>
  <si>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</si>
  <si>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</si>
  <si>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</si>
  <si>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</si>
  <si>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</si>
  <si>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</si>
  <si>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</si>
  <si>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</si>
  <si>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</si>
  <si>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</si>
  <si>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Column1</t>
  </si>
  <si>
    <t>Column2</t>
  </si>
  <si>
    <t>MAX_Equipment_Count</t>
  </si>
  <si>
    <t>Count_Equipment_Count</t>
  </si>
  <si>
    <t>Average_Equipment_Count</t>
  </si>
  <si>
    <t>MIN_Equipment_Count</t>
  </si>
  <si>
    <t>SUM_Equipment _Count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</si>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</sst>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 12" refreshedDate="45946.679186226851" createdVersion="8" refreshedVersion="8" minRefreshableVersion="3" recordCount="49" xr:uid="{55EBAB78-FBE2-4DAB-B0B5-8B643D977E28}">
  <cacheSource type="worksheet">
    <worksheetSource name="Table1"/>
  </cacheSource>
  <cacheFields count="5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  <cacheField name="Column1" numFmtId="0">
      <sharedItems containsBlank="1"/>
    </cacheField>
    <cacheField name="Column2" numFmtId="0">
      <sharedItems containsString="0" containsBlank="1" containsNumber="1" minValue="1" maxValue="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 12" refreshedDate="45946.680267129632" createdVersion="8" refreshedVersion="8" minRefreshableVersion="3" recordCount="49" xr:uid="{8A2CB75C-4D83-4553-A7B6-7C9019A6F60A}">
  <cacheSource type="worksheet">
    <worksheetSource name="Table1"/>
  </cacheSource>
  <cacheFields count="5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  <cacheField name="Column1" numFmtId="0">
      <sharedItems containsBlank="1"/>
    </cacheField>
    <cacheField name="Column2" numFmtId="0">
      <sharedItems containsString="0" containsBlank="1" containsNumber="1" minValue="1" maxValue="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 12" refreshedDate="45946.681174999998" createdVersion="8" refreshedVersion="8" minRefreshableVersion="3" recordCount="49" xr:uid="{DB9D3132-1F87-4C8C-9DCB-C567FDA55083}">
  <cacheSource type="worksheet">
    <worksheetSource name="Table1"/>
  </cacheSource>
  <cacheFields count="5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/>
    </cacheField>
    <cacheField name="Equipment Count" numFmtId="0">
      <sharedItems containsSemiMixedTypes="0" containsString="0" containsNumber="1" containsInteger="1" minValue="1" maxValue="379"/>
    </cacheField>
    <cacheField name="Column1" numFmtId="0">
      <sharedItems containsBlank="1"/>
    </cacheField>
    <cacheField name="Column2" numFmtId="0">
      <sharedItems containsString="0" containsBlank="1" containsNumber="1" minValue="1" maxValue="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  <s v="SUM_Equipment _Count"/>
    <n v="1582"/>
  </r>
  <r>
    <x v="0"/>
    <x v="1"/>
    <n v="1"/>
    <s v="Average_Equipment_Count"/>
    <n v="32.285714285714285"/>
  </r>
  <r>
    <x v="0"/>
    <x v="2"/>
    <n v="23"/>
    <s v="MIN_Equipment_Count"/>
    <n v="1"/>
  </r>
  <r>
    <x v="1"/>
    <x v="2"/>
    <n v="2"/>
    <s v="MAX_Equipment_Count"/>
    <n v="379"/>
  </r>
  <r>
    <x v="2"/>
    <x v="0"/>
    <n v="3"/>
    <s v="Count_Equipment_Count"/>
    <n v="49"/>
  </r>
  <r>
    <x v="2"/>
    <x v="3"/>
    <n v="2"/>
    <m/>
    <m/>
  </r>
  <r>
    <x v="2"/>
    <x v="4"/>
    <n v="1"/>
    <m/>
    <m/>
  </r>
  <r>
    <x v="3"/>
    <x v="3"/>
    <n v="2"/>
    <m/>
    <m/>
  </r>
  <r>
    <x v="3"/>
    <x v="5"/>
    <n v="42"/>
    <m/>
    <m/>
  </r>
  <r>
    <x v="3"/>
    <x v="1"/>
    <n v="1"/>
    <m/>
    <m/>
  </r>
  <r>
    <x v="3"/>
    <x v="2"/>
    <n v="11"/>
    <m/>
    <m/>
  </r>
  <r>
    <x v="4"/>
    <x v="1"/>
    <n v="1"/>
    <m/>
    <m/>
  </r>
  <r>
    <x v="5"/>
    <x v="6"/>
    <n v="9"/>
    <m/>
    <m/>
  </r>
  <r>
    <x v="5"/>
    <x v="1"/>
    <n v="27"/>
    <m/>
    <m/>
  </r>
  <r>
    <x v="5"/>
    <x v="0"/>
    <n v="24"/>
    <m/>
    <m/>
  </r>
  <r>
    <x v="5"/>
    <x v="3"/>
    <n v="1"/>
    <m/>
    <m/>
  </r>
  <r>
    <x v="5"/>
    <x v="2"/>
    <n v="48"/>
    <m/>
    <m/>
  </r>
  <r>
    <x v="6"/>
    <x v="3"/>
    <n v="1"/>
    <m/>
    <m/>
  </r>
  <r>
    <x v="7"/>
    <x v="2"/>
    <n v="6"/>
    <m/>
    <m/>
  </r>
  <r>
    <x v="7"/>
    <x v="0"/>
    <n v="5"/>
    <m/>
    <m/>
  </r>
  <r>
    <x v="7"/>
    <x v="1"/>
    <n v="2"/>
    <m/>
    <m/>
  </r>
  <r>
    <x v="7"/>
    <x v="3"/>
    <n v="15"/>
    <m/>
    <m/>
  </r>
  <r>
    <x v="7"/>
    <x v="7"/>
    <n v="7"/>
    <m/>
    <m/>
  </r>
  <r>
    <x v="8"/>
    <x v="8"/>
    <n v="20"/>
    <m/>
    <m/>
  </r>
  <r>
    <x v="8"/>
    <x v="2"/>
    <n v="1"/>
    <m/>
    <m/>
  </r>
  <r>
    <x v="8"/>
    <x v="4"/>
    <n v="1"/>
    <m/>
    <m/>
  </r>
  <r>
    <x v="8"/>
    <x v="0"/>
    <n v="3"/>
    <m/>
    <m/>
  </r>
  <r>
    <x v="8"/>
    <x v="1"/>
    <n v="1"/>
    <m/>
    <m/>
  </r>
  <r>
    <x v="8"/>
    <x v="9"/>
    <n v="8"/>
    <m/>
    <m/>
  </r>
  <r>
    <x v="8"/>
    <x v="10"/>
    <n v="4"/>
    <m/>
    <m/>
  </r>
  <r>
    <x v="8"/>
    <x v="11"/>
    <n v="46"/>
    <m/>
    <m/>
  </r>
  <r>
    <x v="8"/>
    <x v="12"/>
    <n v="1"/>
    <m/>
    <m/>
  </r>
  <r>
    <x v="9"/>
    <x v="11"/>
    <n v="1"/>
    <m/>
    <m/>
  </r>
  <r>
    <x v="9"/>
    <x v="3"/>
    <n v="1"/>
    <m/>
    <m/>
  </r>
  <r>
    <x v="9"/>
    <x v="1"/>
    <n v="1"/>
    <m/>
    <m/>
  </r>
  <r>
    <x v="9"/>
    <x v="2"/>
    <n v="2"/>
    <m/>
    <m/>
  </r>
  <r>
    <x v="10"/>
    <x v="0"/>
    <n v="1"/>
    <m/>
    <m/>
  </r>
  <r>
    <x v="10"/>
    <x v="6"/>
    <n v="1"/>
    <m/>
    <m/>
  </r>
  <r>
    <x v="10"/>
    <x v="3"/>
    <n v="11"/>
    <m/>
    <m/>
  </r>
  <r>
    <x v="10"/>
    <x v="1"/>
    <n v="3"/>
    <m/>
    <m/>
  </r>
  <r>
    <x v="11"/>
    <x v="0"/>
    <n v="93"/>
    <m/>
    <m/>
  </r>
  <r>
    <x v="11"/>
    <x v="5"/>
    <n v="248"/>
    <m/>
    <m/>
  </r>
  <r>
    <x v="11"/>
    <x v="13"/>
    <n v="379"/>
    <m/>
    <m/>
  </r>
  <r>
    <x v="11"/>
    <x v="1"/>
    <n v="53"/>
    <m/>
    <m/>
  </r>
  <r>
    <x v="11"/>
    <x v="3"/>
    <n v="32"/>
    <m/>
    <m/>
  </r>
  <r>
    <x v="11"/>
    <x v="4"/>
    <n v="98"/>
    <m/>
    <m/>
  </r>
  <r>
    <x v="11"/>
    <x v="7"/>
    <n v="276"/>
    <m/>
    <m/>
  </r>
  <r>
    <x v="11"/>
    <x v="6"/>
    <n v="5"/>
    <m/>
    <m/>
  </r>
  <r>
    <x v="11"/>
    <x v="2"/>
    <n v="3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  <s v="SUM_Equipment _Count"/>
    <n v="1582"/>
  </r>
  <r>
    <x v="0"/>
    <x v="1"/>
    <n v="1"/>
    <s v="Average_Equipment_Count"/>
    <n v="32.285714285714285"/>
  </r>
  <r>
    <x v="0"/>
    <x v="2"/>
    <n v="23"/>
    <s v="MIN_Equipment_Count"/>
    <n v="1"/>
  </r>
  <r>
    <x v="1"/>
    <x v="2"/>
    <n v="2"/>
    <s v="MAX_Equipment_Count"/>
    <n v="379"/>
  </r>
  <r>
    <x v="2"/>
    <x v="0"/>
    <n v="3"/>
    <s v="Count_Equipment_Count"/>
    <n v="49"/>
  </r>
  <r>
    <x v="2"/>
    <x v="3"/>
    <n v="2"/>
    <m/>
    <m/>
  </r>
  <r>
    <x v="2"/>
    <x v="4"/>
    <n v="1"/>
    <m/>
    <m/>
  </r>
  <r>
    <x v="3"/>
    <x v="3"/>
    <n v="2"/>
    <m/>
    <m/>
  </r>
  <r>
    <x v="3"/>
    <x v="5"/>
    <n v="42"/>
    <m/>
    <m/>
  </r>
  <r>
    <x v="3"/>
    <x v="1"/>
    <n v="1"/>
    <m/>
    <m/>
  </r>
  <r>
    <x v="3"/>
    <x v="2"/>
    <n v="11"/>
    <m/>
    <m/>
  </r>
  <r>
    <x v="4"/>
    <x v="1"/>
    <n v="1"/>
    <m/>
    <m/>
  </r>
  <r>
    <x v="5"/>
    <x v="6"/>
    <n v="9"/>
    <m/>
    <m/>
  </r>
  <r>
    <x v="5"/>
    <x v="1"/>
    <n v="27"/>
    <m/>
    <m/>
  </r>
  <r>
    <x v="5"/>
    <x v="0"/>
    <n v="24"/>
    <m/>
    <m/>
  </r>
  <r>
    <x v="5"/>
    <x v="3"/>
    <n v="1"/>
    <m/>
    <m/>
  </r>
  <r>
    <x v="5"/>
    <x v="2"/>
    <n v="48"/>
    <m/>
    <m/>
  </r>
  <r>
    <x v="6"/>
    <x v="3"/>
    <n v="1"/>
    <m/>
    <m/>
  </r>
  <r>
    <x v="7"/>
    <x v="2"/>
    <n v="6"/>
    <m/>
    <m/>
  </r>
  <r>
    <x v="7"/>
    <x v="0"/>
    <n v="5"/>
    <m/>
    <m/>
  </r>
  <r>
    <x v="7"/>
    <x v="1"/>
    <n v="2"/>
    <m/>
    <m/>
  </r>
  <r>
    <x v="7"/>
    <x v="3"/>
    <n v="15"/>
    <m/>
    <m/>
  </r>
  <r>
    <x v="7"/>
    <x v="7"/>
    <n v="7"/>
    <m/>
    <m/>
  </r>
  <r>
    <x v="8"/>
    <x v="8"/>
    <n v="20"/>
    <m/>
    <m/>
  </r>
  <r>
    <x v="8"/>
    <x v="2"/>
    <n v="1"/>
    <m/>
    <m/>
  </r>
  <r>
    <x v="8"/>
    <x v="4"/>
    <n v="1"/>
    <m/>
    <m/>
  </r>
  <r>
    <x v="8"/>
    <x v="0"/>
    <n v="3"/>
    <m/>
    <m/>
  </r>
  <r>
    <x v="8"/>
    <x v="1"/>
    <n v="1"/>
    <m/>
    <m/>
  </r>
  <r>
    <x v="8"/>
    <x v="9"/>
    <n v="8"/>
    <m/>
    <m/>
  </r>
  <r>
    <x v="8"/>
    <x v="10"/>
    <n v="4"/>
    <m/>
    <m/>
  </r>
  <r>
    <x v="8"/>
    <x v="11"/>
    <n v="46"/>
    <m/>
    <m/>
  </r>
  <r>
    <x v="8"/>
    <x v="12"/>
    <n v="1"/>
    <m/>
    <m/>
  </r>
  <r>
    <x v="9"/>
    <x v="11"/>
    <n v="1"/>
    <m/>
    <m/>
  </r>
  <r>
    <x v="9"/>
    <x v="3"/>
    <n v="1"/>
    <m/>
    <m/>
  </r>
  <r>
    <x v="9"/>
    <x v="1"/>
    <n v="1"/>
    <m/>
    <m/>
  </r>
  <r>
    <x v="9"/>
    <x v="2"/>
    <n v="2"/>
    <m/>
    <m/>
  </r>
  <r>
    <x v="10"/>
    <x v="0"/>
    <n v="1"/>
    <m/>
    <m/>
  </r>
  <r>
    <x v="10"/>
    <x v="6"/>
    <n v="1"/>
    <m/>
    <m/>
  </r>
  <r>
    <x v="10"/>
    <x v="3"/>
    <n v="11"/>
    <m/>
    <m/>
  </r>
  <r>
    <x v="10"/>
    <x v="1"/>
    <n v="3"/>
    <m/>
    <m/>
  </r>
  <r>
    <x v="11"/>
    <x v="0"/>
    <n v="93"/>
    <m/>
    <m/>
  </r>
  <r>
    <x v="11"/>
    <x v="5"/>
    <n v="248"/>
    <m/>
    <m/>
  </r>
  <r>
    <x v="11"/>
    <x v="13"/>
    <n v="379"/>
    <m/>
    <m/>
  </r>
  <r>
    <x v="11"/>
    <x v="1"/>
    <n v="53"/>
    <m/>
    <m/>
  </r>
  <r>
    <x v="11"/>
    <x v="3"/>
    <n v="32"/>
    <m/>
    <m/>
  </r>
  <r>
    <x v="11"/>
    <x v="4"/>
    <n v="98"/>
    <m/>
    <m/>
  </r>
  <r>
    <x v="11"/>
    <x v="7"/>
    <n v="276"/>
    <m/>
    <m/>
  </r>
  <r>
    <x v="11"/>
    <x v="6"/>
    <n v="5"/>
    <m/>
    <m/>
  </r>
  <r>
    <x v="11"/>
    <x v="2"/>
    <n v="3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Pick Up Trucks"/>
    <n v="21"/>
    <s v="SUM_Equipment _Count"/>
    <n v="1582"/>
  </r>
  <r>
    <x v="0"/>
    <s v="SUV"/>
    <n v="1"/>
    <s v="Average_Equipment_Count"/>
    <n v="32.285714285714285"/>
  </r>
  <r>
    <x v="0"/>
    <s v="Sedan"/>
    <n v="23"/>
    <s v="MIN_Equipment_Count"/>
    <n v="1"/>
  </r>
  <r>
    <x v="1"/>
    <s v="Sedan"/>
    <n v="2"/>
    <s v="MAX_Equipment_Count"/>
    <n v="379"/>
  </r>
  <r>
    <x v="2"/>
    <s v="Pick Up Trucks"/>
    <n v="3"/>
    <s v="Count_Equipment_Count"/>
    <n v="49"/>
  </r>
  <r>
    <x v="2"/>
    <s v="Van"/>
    <n v="2"/>
    <m/>
    <m/>
  </r>
  <r>
    <x v="2"/>
    <s v="Medium Duty"/>
    <n v="1"/>
    <m/>
    <m/>
  </r>
  <r>
    <x v="3"/>
    <s v="Van"/>
    <n v="2"/>
    <m/>
    <m/>
  </r>
  <r>
    <x v="3"/>
    <s v="Heavy Duty"/>
    <n v="42"/>
    <m/>
    <m/>
  </r>
  <r>
    <x v="3"/>
    <s v="SUV"/>
    <n v="1"/>
    <m/>
    <m/>
  </r>
  <r>
    <x v="3"/>
    <s v="Sedan"/>
    <n v="11"/>
    <m/>
    <m/>
  </r>
  <r>
    <x v="4"/>
    <s v="SUV"/>
    <n v="1"/>
    <m/>
    <m/>
  </r>
  <r>
    <x v="5"/>
    <s v="CUV"/>
    <n v="9"/>
    <m/>
    <m/>
  </r>
  <r>
    <x v="5"/>
    <s v="SUV"/>
    <n v="27"/>
    <m/>
    <m/>
  </r>
  <r>
    <x v="5"/>
    <s v="Pick Up Trucks"/>
    <n v="24"/>
    <m/>
    <m/>
  </r>
  <r>
    <x v="5"/>
    <s v="Van"/>
    <n v="1"/>
    <m/>
    <m/>
  </r>
  <r>
    <x v="5"/>
    <s v="Sedan"/>
    <n v="48"/>
    <m/>
    <m/>
  </r>
  <r>
    <x v="6"/>
    <s v="Van"/>
    <n v="1"/>
    <m/>
    <m/>
  </r>
  <r>
    <x v="7"/>
    <s v="Sedan"/>
    <n v="6"/>
    <m/>
    <m/>
  </r>
  <r>
    <x v="7"/>
    <s v="Pick Up Trucks"/>
    <n v="5"/>
    <m/>
    <m/>
  </r>
  <r>
    <x v="7"/>
    <s v="SUV"/>
    <n v="2"/>
    <m/>
    <m/>
  </r>
  <r>
    <x v="7"/>
    <s v="Van"/>
    <n v="15"/>
    <m/>
    <m/>
  </r>
  <r>
    <x v="7"/>
    <s v="Off Road Vehicle Equipment"/>
    <n v="7"/>
    <m/>
    <m/>
  </r>
  <r>
    <x v="8"/>
    <s v="Public Safety SUV"/>
    <n v="20"/>
    <m/>
    <m/>
  </r>
  <r>
    <x v="8"/>
    <s v="Sedan"/>
    <n v="1"/>
    <m/>
    <m/>
  </r>
  <r>
    <x v="8"/>
    <s v="Medium Duty"/>
    <n v="1"/>
    <m/>
    <m/>
  </r>
  <r>
    <x v="8"/>
    <s v="Pick Up Trucks"/>
    <n v="3"/>
    <m/>
    <m/>
  </r>
  <r>
    <x v="8"/>
    <s v="SUV"/>
    <n v="1"/>
    <m/>
    <m/>
  </r>
  <r>
    <x v="8"/>
    <s v="Public Safety Van"/>
    <n v="8"/>
    <m/>
    <m/>
  </r>
  <r>
    <x v="8"/>
    <s v="Public Safety CUV"/>
    <n v="4"/>
    <m/>
    <m/>
  </r>
  <r>
    <x v="8"/>
    <s v="Public Safety Sedan"/>
    <n v="46"/>
    <m/>
    <m/>
  </r>
  <r>
    <x v="8"/>
    <s v="Public Safety Pick Up Trucks"/>
    <n v="1"/>
    <m/>
    <m/>
  </r>
  <r>
    <x v="9"/>
    <s v="Public Safety Sedan"/>
    <n v="1"/>
    <m/>
    <m/>
  </r>
  <r>
    <x v="9"/>
    <s v="Van"/>
    <n v="1"/>
    <m/>
    <m/>
  </r>
  <r>
    <x v="9"/>
    <s v="SUV"/>
    <n v="1"/>
    <m/>
    <m/>
  </r>
  <r>
    <x v="9"/>
    <s v="Sedan"/>
    <n v="2"/>
    <m/>
    <m/>
  </r>
  <r>
    <x v="10"/>
    <s v="Pick Up Trucks"/>
    <n v="1"/>
    <m/>
    <m/>
  </r>
  <r>
    <x v="10"/>
    <s v="CUV"/>
    <n v="1"/>
    <m/>
    <m/>
  </r>
  <r>
    <x v="10"/>
    <s v="Van"/>
    <n v="11"/>
    <m/>
    <m/>
  </r>
  <r>
    <x v="10"/>
    <s v="SUV"/>
    <n v="3"/>
    <m/>
    <m/>
  </r>
  <r>
    <x v="11"/>
    <s v="Pick Up Trucks"/>
    <n v="93"/>
    <m/>
    <m/>
  </r>
  <r>
    <x v="11"/>
    <s v="Heavy Duty"/>
    <n v="248"/>
    <m/>
    <m/>
  </r>
  <r>
    <x v="11"/>
    <s v="Transit Bus"/>
    <n v="379"/>
    <m/>
    <m/>
  </r>
  <r>
    <x v="11"/>
    <s v="SUV"/>
    <n v="53"/>
    <m/>
    <m/>
  </r>
  <r>
    <x v="11"/>
    <s v="Van"/>
    <n v="32"/>
    <m/>
    <m/>
  </r>
  <r>
    <x v="11"/>
    <s v="Medium Duty"/>
    <n v="98"/>
    <m/>
    <m/>
  </r>
  <r>
    <x v="11"/>
    <s v="Off Road Vehicle Equipment"/>
    <n v="276"/>
    <m/>
    <m/>
  </r>
  <r>
    <x v="11"/>
    <s v="CUV"/>
    <n v="5"/>
    <m/>
    <m/>
  </r>
  <r>
    <x v="11"/>
    <s v="Sedan"/>
    <n v="3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D8474-EFF3-4CEE-98D0-B28100005F67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5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2946F-D0A7-4DC9-8918-894F3248E674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5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  <pivotField showAll="0"/>
    <pivotField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8AAFA-062F-4ABC-927C-BA23A50D98D8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5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  <pivotField showAll="0"/>
    <pivotField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256A0-A373-4653-BF0E-212DB62F349A}" name="Table1" displayName="Table1" ref="A1:E50" totalsRowShown="0">
  <autoFilter ref="A1:E50" xr:uid="{64B256A0-A373-4653-BF0E-212DB62F349A}"/>
  <tableColumns count="5">
    <tableColumn id="1" xr3:uid="{769BDC8E-5215-40F9-926C-5D54E074216C}" name="Department"/>
    <tableColumn id="2" xr3:uid="{4747E650-4CD3-46FC-B5CC-4AF147C03ABB}" name="Equipment Class"/>
    <tableColumn id="3" xr3:uid="{A12CF24A-89E7-407E-9247-32E423A0A888}" name="Equipment Count"/>
    <tableColumn id="5" xr3:uid="{2DA4A015-E4EA-4830-8D39-55F169FB484A}" name="Column1"/>
    <tableColumn id="6" xr3:uid="{AD660C19-D88A-4122-947B-6A7D46FAE558}" name="Column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5E71-E106-420C-BADE-2B4164474C0F}">
  <dimension ref="A3:B16"/>
  <sheetViews>
    <sheetView workbookViewId="0">
      <selection activeCell="A3" sqref="A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36</v>
      </c>
      <c r="B3" t="s">
        <v>38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37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07DC-9D3D-48A0-897A-27CEDFF6E9D4}">
  <dimension ref="A3:B25"/>
  <sheetViews>
    <sheetView topLeftCell="A10" workbookViewId="0">
      <selection activeCell="A16" sqref="A16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36</v>
      </c>
      <c r="B3" t="s">
        <v>38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37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B8C2-E796-4C0D-B97C-834CD9FB4D4E}">
  <dimension ref="A3:B21"/>
  <sheetViews>
    <sheetView workbookViewId="0">
      <selection activeCell="H11" sqref="H11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36</v>
      </c>
      <c r="B3" t="s">
        <v>38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26</v>
      </c>
      <c r="B6" s="3">
        <v>5</v>
      </c>
    </row>
    <row r="7" spans="1:2" x14ac:dyDescent="0.25">
      <c r="A7" s="4" t="s">
        <v>25</v>
      </c>
      <c r="B7" s="3">
        <v>1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37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topLeftCell="C1" workbookViewId="0">
      <selection activeCell="G7" sqref="G7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4" max="4" width="2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29</v>
      </c>
      <c r="E1" t="s">
        <v>30</v>
      </c>
    </row>
    <row r="2" spans="1:5" x14ac:dyDescent="0.25">
      <c r="A2" t="s">
        <v>5</v>
      </c>
      <c r="B2" t="s">
        <v>6</v>
      </c>
      <c r="C2">
        <v>21</v>
      </c>
      <c r="D2" t="s">
        <v>35</v>
      </c>
      <c r="E2">
        <f>SUM(C2:C50)</f>
        <v>1582</v>
      </c>
    </row>
    <row r="3" spans="1:5" x14ac:dyDescent="0.25">
      <c r="A3" t="s">
        <v>5</v>
      </c>
      <c r="B3" t="s">
        <v>7</v>
      </c>
      <c r="C3">
        <v>1</v>
      </c>
      <c r="D3" t="s">
        <v>33</v>
      </c>
      <c r="E3">
        <f>AVERAGE(C2:C50)</f>
        <v>32.285714285714285</v>
      </c>
    </row>
    <row r="4" spans="1:5" x14ac:dyDescent="0.25">
      <c r="A4" t="s">
        <v>5</v>
      </c>
      <c r="B4" t="s">
        <v>4</v>
      </c>
      <c r="C4">
        <v>23</v>
      </c>
      <c r="D4" t="s">
        <v>34</v>
      </c>
      <c r="E4">
        <f>MIN(C2:C50)</f>
        <v>1</v>
      </c>
    </row>
    <row r="5" spans="1:5" x14ac:dyDescent="0.25">
      <c r="A5" t="s">
        <v>8</v>
      </c>
      <c r="B5" t="s">
        <v>4</v>
      </c>
      <c r="C5">
        <v>2</v>
      </c>
      <c r="D5" t="s">
        <v>31</v>
      </c>
      <c r="E5">
        <f>MAX(C2:C50)</f>
        <v>379</v>
      </c>
    </row>
    <row r="6" spans="1:5" x14ac:dyDescent="0.25">
      <c r="A6" t="s">
        <v>9</v>
      </c>
      <c r="B6" t="s">
        <v>6</v>
      </c>
      <c r="C6">
        <v>3</v>
      </c>
      <c r="D6" t="s">
        <v>32</v>
      </c>
      <c r="E6">
        <f>COUNT(C2:C50)</f>
        <v>49</v>
      </c>
    </row>
    <row r="7" spans="1:5" x14ac:dyDescent="0.25">
      <c r="A7" t="s">
        <v>9</v>
      </c>
      <c r="B7" t="s">
        <v>10</v>
      </c>
      <c r="C7">
        <v>2</v>
      </c>
    </row>
    <row r="8" spans="1:5" x14ac:dyDescent="0.25">
      <c r="A8" t="s">
        <v>9</v>
      </c>
      <c r="B8" t="s">
        <v>11</v>
      </c>
      <c r="C8">
        <v>1</v>
      </c>
    </row>
    <row r="9" spans="1:5" x14ac:dyDescent="0.25">
      <c r="A9" t="s">
        <v>12</v>
      </c>
      <c r="B9" t="s">
        <v>10</v>
      </c>
      <c r="C9">
        <v>2</v>
      </c>
    </row>
    <row r="10" spans="1:5" x14ac:dyDescent="0.25">
      <c r="A10" t="s">
        <v>12</v>
      </c>
      <c r="B10" t="s">
        <v>13</v>
      </c>
      <c r="C10">
        <v>42</v>
      </c>
    </row>
    <row r="11" spans="1:5" x14ac:dyDescent="0.25">
      <c r="A11" t="s">
        <v>12</v>
      </c>
      <c r="B11" t="s">
        <v>7</v>
      </c>
      <c r="C11">
        <v>1</v>
      </c>
    </row>
    <row r="12" spans="1:5" x14ac:dyDescent="0.25">
      <c r="A12" t="s">
        <v>12</v>
      </c>
      <c r="B12" t="s">
        <v>4</v>
      </c>
      <c r="C12">
        <v>11</v>
      </c>
    </row>
    <row r="13" spans="1:5" x14ac:dyDescent="0.25">
      <c r="A13" t="s">
        <v>14</v>
      </c>
      <c r="B13" t="s">
        <v>7</v>
      </c>
      <c r="C13">
        <v>1</v>
      </c>
    </row>
    <row r="14" spans="1:5" x14ac:dyDescent="0.25">
      <c r="A14" t="s">
        <v>15</v>
      </c>
      <c r="B14" t="s">
        <v>16</v>
      </c>
      <c r="C14">
        <v>9</v>
      </c>
    </row>
    <row r="15" spans="1:5" x14ac:dyDescent="0.25">
      <c r="A15" t="s">
        <v>15</v>
      </c>
      <c r="B15" t="s">
        <v>7</v>
      </c>
      <c r="C15">
        <v>27</v>
      </c>
    </row>
    <row r="16" spans="1:5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1048576" spans="3:3" x14ac:dyDescent="0.25">
      <c r="C1048576">
        <f>SUM(C2:C1048575)</f>
        <v>1582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 12</cp:lastModifiedBy>
  <dcterms:created xsi:type="dcterms:W3CDTF">2020-09-01T17:18:12Z</dcterms:created>
  <dcterms:modified xsi:type="dcterms:W3CDTF">2025-10-16T17:12:10Z</dcterms:modified>
</cp:coreProperties>
</file>